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tom" sheetId="1" state="visible" r:id="rId3"/>
    <sheet name="top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<sst xmlns="http://schemas.openxmlformats.org/spreadsheetml/2006/main" count="40" uniqueCount="26">
  <si>
    <t xml:space="preserve">σ_dis = M ^ alpha · α · G · b · √ρ</t>
  </si>
  <si>
    <t xml:space="preserve">Location</t>
  </si>
  <si>
    <t xml:space="preserve">M</t>
  </si>
  <si>
    <t xml:space="preserve">alpha</t>
  </si>
  <si>
    <t xml:space="preserve">G (Pa)</t>
  </si>
  <si>
    <t xml:space="preserve">α</t>
  </si>
  <si>
    <t xml:space="preserve">a, m (lattice parameter)</t>
  </si>
  <si>
    <t xml:space="preserve">Burgers vector b = a / √2  (FCC) (m)</t>
  </si>
  <si>
    <t xml:space="preserve">ρ (m⁻²)</t>
  </si>
  <si>
    <t xml:space="preserve">σ_dis (MPa)</t>
  </si>
  <si>
    <t xml:space="preserve">bottom</t>
  </si>
  <si>
    <t xml:space="preserve">top</t>
  </si>
  <si>
    <t xml:space="preserve">σ_GB = K_GB · beta / √d   (Hall-Petch grain boundary strengthening)</t>
  </si>
  <si>
    <t xml:space="preserve">beta</t>
  </si>
  <si>
    <t xml:space="preserve">d (m)</t>
  </si>
  <si>
    <t xml:space="preserve">K_GB (MPa·m½)</t>
  </si>
  <si>
    <t xml:space="preserve">σ_GB (MPa)</t>
  </si>
  <si>
    <t xml:space="preserve">Note</t>
  </si>
  <si>
    <t xml:space="preserve">Grain size without twin boundaries</t>
  </si>
  <si>
    <t xml:space="preserve">σ_SS = M ^ alpha * tau_y</t>
  </si>
  <si>
    <t xml:space="preserve">tau_y, Mpa</t>
  </si>
  <si>
    <t xml:space="preserve">σ_SS, Mpa</t>
  </si>
  <si>
    <t xml:space="preserve">Linear σ_ys^{pred} = σ_dis + σ_SS + σ_GB</t>
  </si>
  <si>
    <t xml:space="preserve">Linear, σ_ys^{pred}, Mpa</t>
  </si>
  <si>
    <t xml:space="preserve">Root-sum-square, σ_ys^{pred}, Mpa</t>
  </si>
  <si>
    <t xml:space="preserve">experimental σ_ys, (Mpa)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</si>
</sst>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E+00"/>
    <numFmt numFmtId="167" formatCode="0"/>
    <numFmt numFmtId="168" formatCode="0.0000E+00"/>
    <numFmt numFmtId="169" formatCode="0.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</font>
    <font>
      <sz val="10"/>
      <color rgb="FF0000FF"/>
      <name val="Arial"/>
      <family val="0"/>
    </font>
    <font>
      <sz val="10"/>
      <color rgb="FF00000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F2CC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2E75B6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75B6"/>
      </left>
      <right style="thin">
        <color rgb="FFAAAAAA"/>
      </right>
      <top style="medium">
        <color rgb="FF2E75B6"/>
      </top>
      <bottom style="thin">
        <color rgb="FFAAAAAA"/>
      </bottom>
      <diagonal/>
    </border>
    <border diagonalUp="false" diagonalDown="false">
      <left style="medium">
        <color rgb="FF2E75B6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75B6"/>
      </left>
      <right style="thin">
        <color rgb="FFAAAAAA"/>
      </right>
      <top style="thin">
        <color rgb="FFAAAAAA"/>
      </top>
      <bottom style="medium">
        <color rgb="FF2E75B6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13" activeCellId="0" sqref="K13"/>
    </sheetView>
  </sheetViews>
  <sheetFormatPr defaultColWidth="11.53515625" defaultRowHeight="12.8" zeroHeight="false" outlineLevelRow="0" outlineLevelCol="0"/>
  <cols>
    <col collapsed="false" customWidth="true" hidden="false" outlineLevel="0" max="7" min="7" style="0" width="12.48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34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2.8" hidden="false" customHeight="false" outlineLevel="0" collapsed="false">
      <c r="A3" s="3" t="s">
        <v>10</v>
      </c>
      <c r="B3" s="4" t="n">
        <v>3.06</v>
      </c>
      <c r="C3" s="4" t="n">
        <v>0.975356</v>
      </c>
      <c r="D3" s="5" t="n">
        <v>94000000000</v>
      </c>
      <c r="E3" s="4" t="n">
        <v>0.35</v>
      </c>
      <c r="F3" s="6" t="n">
        <f aca="false">3.5872*10^(-10)</f>
        <v>3.5872E-010</v>
      </c>
      <c r="G3" s="4" t="n">
        <f aca="false">F3/SQRT(2)</f>
        <v>2.53653344547238E-010</v>
      </c>
      <c r="H3" s="5" t="n">
        <v>214000000000000</v>
      </c>
      <c r="I3" s="7" t="n">
        <f aca="false">B3^C3*E3*D3*G3*SQRT(H3)/10^6</f>
        <v>363.408168857618</v>
      </c>
    </row>
    <row r="4" customFormat="false" ht="12.8" hidden="false" customHeight="false" outlineLevel="0" collapsed="false">
      <c r="A4" s="3" t="s">
        <v>11</v>
      </c>
      <c r="B4" s="4" t="n">
        <v>3.06</v>
      </c>
      <c r="C4" s="4" t="n">
        <v>0.729271</v>
      </c>
      <c r="D4" s="5" t="n">
        <v>94000000000</v>
      </c>
      <c r="E4" s="4" t="n">
        <v>0.35</v>
      </c>
      <c r="F4" s="6" t="n">
        <f aca="false">3.5913*10^(-10)</f>
        <v>3.5913E-010</v>
      </c>
      <c r="G4" s="4" t="n">
        <f aca="false">F4/SQRT(2)</f>
        <v>2.53943258327525E-010</v>
      </c>
      <c r="H4" s="5" t="n">
        <v>47500000000000</v>
      </c>
      <c r="I4" s="7" t="n">
        <f aca="false">B4^C4*E4*D4*G4*SQRT(H4)/10^6</f>
        <v>130.167313275025</v>
      </c>
    </row>
    <row r="7" customFormat="false" ht="12.8" hidden="false" customHeight="false" outlineLevel="0" collapsed="false">
      <c r="A7" s="1" t="s">
        <v>12</v>
      </c>
      <c r="B7" s="1"/>
      <c r="C7" s="1"/>
      <c r="D7" s="1"/>
      <c r="E7" s="1"/>
      <c r="F7" s="1"/>
      <c r="G7" s="1"/>
      <c r="H7" s="1"/>
    </row>
    <row r="8" customFormat="false" ht="23.55" hidden="false" customHeight="false" outlineLevel="0" collapsed="false">
      <c r="A8" s="8" t="s">
        <v>1</v>
      </c>
      <c r="B8" s="2" t="s">
        <v>13</v>
      </c>
      <c r="C8" s="2" t="s">
        <v>14</v>
      </c>
      <c r="D8" s="2" t="s">
        <v>15</v>
      </c>
      <c r="E8" s="2" t="s">
        <v>16</v>
      </c>
      <c r="F8" s="0" t="s">
        <v>17</v>
      </c>
    </row>
    <row r="9" customFormat="false" ht="34.8" hidden="false" customHeight="false" outlineLevel="0" collapsed="false">
      <c r="A9" s="9" t="s">
        <v>10</v>
      </c>
      <c r="B9" s="10" t="n">
        <v>0.67314</v>
      </c>
      <c r="C9" s="10" t="n">
        <v>3.13E-005</v>
      </c>
      <c r="D9" s="11" t="n">
        <v>0.966</v>
      </c>
      <c r="E9" s="12" t="n">
        <f aca="false">(D9*B9)/SQRT(C9)</f>
        <v>116.227890629056</v>
      </c>
      <c r="F9" s="13" t="s">
        <v>18</v>
      </c>
    </row>
    <row r="10" customFormat="false" ht="12.8" hidden="false" customHeight="false" outlineLevel="0" collapsed="false">
      <c r="A10" s="14" t="s">
        <v>11</v>
      </c>
      <c r="B10" s="15" t="n">
        <v>0.01796</v>
      </c>
      <c r="C10" s="15" t="n">
        <v>0.0004908</v>
      </c>
      <c r="D10" s="11" t="n">
        <v>0.966</v>
      </c>
      <c r="E10" s="16" t="n">
        <f aca="false">D10*B10/SQRT(C10)</f>
        <v>0.78312516838588</v>
      </c>
    </row>
    <row r="13" customFormat="false" ht="12.8" hidden="false" customHeight="false" outlineLevel="0" collapsed="false">
      <c r="A13" s="1" t="s">
        <v>19</v>
      </c>
      <c r="B13" s="1"/>
      <c r="C13" s="1"/>
      <c r="D13" s="1"/>
      <c r="E13" s="1"/>
      <c r="F13" s="1"/>
    </row>
    <row r="14" customFormat="false" ht="12.8" hidden="false" customHeight="false" outlineLevel="0" collapsed="false">
      <c r="A14" s="8" t="s">
        <v>1</v>
      </c>
      <c r="B14" s="2" t="s">
        <v>2</v>
      </c>
      <c r="C14" s="2" t="s">
        <v>3</v>
      </c>
      <c r="D14" s="2" t="s">
        <v>20</v>
      </c>
      <c r="E14" s="2" t="s">
        <v>21</v>
      </c>
    </row>
    <row r="15" customFormat="false" ht="12.8" hidden="false" customHeight="false" outlineLevel="0" collapsed="false">
      <c r="A15" s="9" t="s">
        <v>10</v>
      </c>
      <c r="B15" s="4" t="n">
        <v>3.06</v>
      </c>
      <c r="C15" s="4" t="n">
        <v>0.975356</v>
      </c>
      <c r="D15" s="6" t="n">
        <v>48.7</v>
      </c>
      <c r="E15" s="0" t="n">
        <f aca="false">B15^C15*D15</f>
        <v>144.970710992757</v>
      </c>
    </row>
    <row r="16" customFormat="false" ht="12.8" hidden="false" customHeight="false" outlineLevel="0" collapsed="false">
      <c r="A16" s="14" t="s">
        <v>11</v>
      </c>
      <c r="B16" s="4" t="n">
        <v>3.06</v>
      </c>
      <c r="C16" s="4" t="n">
        <v>0.729271</v>
      </c>
      <c r="D16" s="6" t="n">
        <v>48.7</v>
      </c>
      <c r="E16" s="0" t="n">
        <f aca="false">B16^C16*D16</f>
        <v>110.09092268868</v>
      </c>
    </row>
    <row r="19" customFormat="false" ht="12.8" hidden="false" customHeight="false" outlineLevel="0" collapsed="false">
      <c r="A19" s="1" t="s">
        <v>22</v>
      </c>
      <c r="B19" s="1"/>
      <c r="C19" s="1"/>
      <c r="D19" s="1"/>
      <c r="E19" s="1"/>
      <c r="G19" s="1"/>
      <c r="H19" s="1"/>
      <c r="I19" s="1"/>
      <c r="J19" s="1"/>
      <c r="K19" s="1"/>
    </row>
    <row r="20" customFormat="false" ht="52.7" hidden="false" customHeight="true" outlineLevel="0" collapsed="false">
      <c r="A20" s="8" t="s">
        <v>1</v>
      </c>
      <c r="B20" s="2" t="s">
        <v>21</v>
      </c>
      <c r="C20" s="2" t="s">
        <v>16</v>
      </c>
      <c r="D20" s="2" t="s">
        <v>9</v>
      </c>
      <c r="E20" s="2" t="s">
        <v>23</v>
      </c>
      <c r="F20" s="2" t="s">
        <v>24</v>
      </c>
      <c r="G20" s="2" t="s">
        <v>25</v>
      </c>
    </row>
    <row r="21" customFormat="false" ht="12.8" hidden="false" customHeight="false" outlineLevel="0" collapsed="false">
      <c r="A21" s="9" t="s">
        <v>10</v>
      </c>
      <c r="B21" s="17" t="n">
        <f aca="false">B15^C15*D15</f>
        <v>144.970710992757</v>
      </c>
      <c r="C21" s="12" t="n">
        <f aca="false">(D9*B9)/SQRT(C9)</f>
        <v>116.227890629056</v>
      </c>
      <c r="D21" s="7" t="n">
        <f aca="false">B3^C3*E3*D3*G3*SQRT(H3)/10^6</f>
        <v>363.408168857618</v>
      </c>
      <c r="E21" s="17" t="n">
        <f aca="false">SUM(B21:D21)</f>
        <v>624.606770479431</v>
      </c>
      <c r="F21" s="17" t="n">
        <f aca="false">SQRT(D21^2+C21^2+B21^2)</f>
        <v>408.155517907417</v>
      </c>
      <c r="G21" s="17" t="n">
        <v>210</v>
      </c>
      <c r="H21" s="17" t="n">
        <f aca="false">G21-E21</f>
        <v>-414.606770479431</v>
      </c>
      <c r="I21" s="17" t="n">
        <f aca="false">G21-F21</f>
        <v>-198.155517907417</v>
      </c>
    </row>
    <row r="22" customFormat="false" ht="12.8" hidden="false" customHeight="false" outlineLevel="0" collapsed="false">
      <c r="A22" s="14" t="s">
        <v>11</v>
      </c>
      <c r="B22" s="17" t="n">
        <f aca="false">B16^C16*D16</f>
        <v>110.09092268868</v>
      </c>
      <c r="C22" s="16" t="n">
        <f aca="false">D10*B10/SQRT(C10)</f>
        <v>0.78312516838588</v>
      </c>
      <c r="D22" s="7" t="n">
        <f aca="false">B4^C4*E4*D4*G4*SQRT(H4)/10^6</f>
        <v>130.167313275025</v>
      </c>
      <c r="E22" s="17" t="n">
        <f aca="false">SUM(B22:D22)</f>
        <v>241.041361132091</v>
      </c>
      <c r="F22" s="17" t="n">
        <f aca="false">SQRT(D22^2+C22^2+B22^2)</f>
        <v>170.482122196765</v>
      </c>
      <c r="G22" s="17" t="n">
        <v>179</v>
      </c>
      <c r="H22" s="17" t="n">
        <f aca="false">G22-E22</f>
        <v>-62.0413611320909</v>
      </c>
      <c r="I22" s="17" t="n">
        <f aca="false">G22-F22</f>
        <v>8.51787780323483</v>
      </c>
    </row>
  </sheetData>
  <mergeCells count="5">
    <mergeCell ref="A1:F1"/>
    <mergeCell ref="A7:H7"/>
    <mergeCell ref="A13:F13"/>
    <mergeCell ref="A19:E19"/>
    <mergeCell ref="G19:K19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2026-07-25T11:26:28Z</dcterms:created>
  <dc:creator/>
  <dc:description/>
  <dc:language>ru-RU</dc:language>
  <cp:lastModifiedBy/>
  <dcterms:modified xsi:type="dcterms:W3CDTF">2026-07-25T12:26:37Z</dcterms:modified>
  <cp:revision>29</cp:revision>
  <dc:subject/>
  <dc:title/>
</cp:coreProperties>
</file>