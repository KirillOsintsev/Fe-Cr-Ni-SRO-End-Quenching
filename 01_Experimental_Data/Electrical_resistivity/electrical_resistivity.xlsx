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ctrical_resistivity" sheetId="1" state="visible" r:id="rId3"/>
  </sheets>
  <definedNames>
    <definedName function="false" hidden="false" name="Average" vbProcedure="false">#REF!</definedName>
    <definedName function="false" hidden="false" name="doo" vbProcedure="false">sheet1 #REF!</definedName>
    <definedName function="false" hidden="false" name="graph" vbProcedure="false">sheet1 #REF!</definedName>
    <definedName function="false" hidden="false" name="Max" vbProcedure="false">#REF!</definedName>
    <definedName function="false" hidden="false" name="Min" vbProcedure="false">#REF!</definedName>
    <definedName function="false" hidden="false" name="Notes" vbProcedure="false">#REF!</definedName>
    <definedName function="false" hidden="false" name="Percent" vbProcedure="false">#REF!</definedName>
    <definedName function="false" hidden="false" name="PrintTime" vbProcedure="false">#REF!</definedName>
    <definedName function="false" hidden="false" name="Summary" vbProcedure="false">#REF!</definedName>
    <definedName function="false" hidden="false" name="table" vbProcedure="false">#REF!</definedName>
    <definedName function="false" hidden="false" name="Titl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<sst xmlns="http://schemas.openxmlformats.org/spreadsheetml/2006/main" count="21" uniqueCount="13">
  <si>
    <t xml:space="preserve">Alloy</t>
  </si>
  <si>
    <t xml:space="preserve">State</t>
  </si>
  <si>
    <t xml:space="preserve">Forward resistivity, Ω-cm</t>
  </si>
  <si>
    <t xml:space="preserve">Reverse resistivity, Ω-cm</t>
  </si>
  <si>
    <t xml:space="preserve">Average resistivity, µΩ-cm</t>
  </si>
  <si>
    <t xml:space="preserve">Standard deviation, Ω-cm</t>
  </si>
  <si>
    <t xml:space="preserve">Fe60Ni20Cr20</t>
  </si>
  <si>
    <t xml:space="preserve">As-cast</t>
  </si>
  <si>
    <t xml:space="preserve">Bottom</t>
  </si>
  <si>
    <t xml:space="preserve">Middle</t>
  </si>
  <si>
    <t xml:space="preserve">Top</t>
  </si>
  <si>
    <t xml:space="preserve">Fe34Ni33Cr33</t>
  </si>
  <si>
    <t xml:space="preserve">Fe20Ni50Cr30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</si>
</sst>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E+00"/>
    <numFmt numFmtId="166" formatCode="0.0"/>
  </numFmts>
  <fonts count="6">
    <font>
      <sz val="12"/>
      <name val="宋体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true" showOutlineSymbols="true" defaultGridColor="true" view="normal" topLeftCell="A1" colorId="64" zoomScale="45" zoomScaleNormal="45" zoomScalePageLayoutView="100" workbookViewId="0">
      <selection pane="topLeft" activeCell="A2" activeCellId="0" sqref="A2:B37"/>
    </sheetView>
  </sheetViews>
  <sheetFormatPr defaultColWidth="10.66796875" defaultRowHeight="15" zeroHeight="false" outlineLevelRow="0" outlineLevelCol="0"/>
  <cols>
    <col collapsed="false" customWidth="true" hidden="false" outlineLevel="0" max="1" min="1" style="1" width="15.14"/>
    <col collapsed="false" customWidth="false" hidden="false" outlineLevel="0" max="2" min="2" style="1" width="10.67"/>
    <col collapsed="false" customWidth="true" hidden="false" outlineLevel="0" max="4" min="3" style="1" width="27.71"/>
    <col collapsed="false" customWidth="true" hidden="false" outlineLevel="0" max="5" min="5" style="1" width="24.77"/>
    <col collapsed="false" customWidth="true" hidden="false" outlineLevel="0" max="6" min="6" style="1" width="23.66"/>
    <col collapsed="false" customWidth="false" hidden="false" outlineLevel="0" max="16384" min="7" style="1" width="10.67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5" t="n">
        <v>8.39E-005</v>
      </c>
      <c r="D2" s="5" t="n">
        <v>7.714E-005</v>
      </c>
      <c r="E2" s="6" t="n">
        <f aca="false">AVERAGE(C2:D4)*10^6</f>
        <v>81.5966666666667</v>
      </c>
      <c r="F2" s="6" t="n">
        <f aca="false">STDEV(C2:D4)*10^6</f>
        <v>2.39506715285118</v>
      </c>
    </row>
    <row r="3" customFormat="false" ht="15" hidden="false" customHeight="false" outlineLevel="0" collapsed="false">
      <c r="A3" s="2"/>
      <c r="B3" s="2"/>
      <c r="C3" s="5" t="n">
        <v>8.206E-005</v>
      </c>
      <c r="D3" s="5" t="n">
        <v>8.329E-005</v>
      </c>
      <c r="E3" s="6"/>
      <c r="F3" s="6"/>
    </row>
    <row r="4" customFormat="false" ht="15" hidden="false" customHeight="false" outlineLevel="0" collapsed="false">
      <c r="A4" s="2"/>
      <c r="B4" s="2"/>
      <c r="C4" s="5" t="n">
        <v>8.206E-005</v>
      </c>
      <c r="D4" s="5" t="n">
        <v>8.113E-005</v>
      </c>
      <c r="E4" s="6"/>
      <c r="F4" s="6"/>
    </row>
    <row r="5" customFormat="false" ht="15" hidden="false" customHeight="false" outlineLevel="0" collapsed="false">
      <c r="A5" s="2"/>
      <c r="B5" s="2" t="s">
        <v>8</v>
      </c>
      <c r="C5" s="5" t="n">
        <v>7.645E-005</v>
      </c>
      <c r="D5" s="5" t="n">
        <v>7.705E-005</v>
      </c>
      <c r="E5" s="6" t="n">
        <f aca="false">AVERAGE(C5:D7)*10^6</f>
        <v>76.19</v>
      </c>
      <c r="F5" s="6" t="n">
        <f aca="false">STDEV(C5:D7)*10^6</f>
        <v>0.496145140054804</v>
      </c>
    </row>
    <row r="6" customFormat="false" ht="15" hidden="false" customHeight="false" outlineLevel="0" collapsed="false">
      <c r="A6" s="2"/>
      <c r="B6" s="2"/>
      <c r="C6" s="5" t="n">
        <v>7.586E-005</v>
      </c>
      <c r="D6" s="5" t="n">
        <v>7.566E-005</v>
      </c>
      <c r="E6" s="6"/>
      <c r="F6" s="6"/>
    </row>
    <row r="7" customFormat="false" ht="15" hidden="false" customHeight="false" outlineLevel="0" collapsed="false">
      <c r="A7" s="2"/>
      <c r="B7" s="2"/>
      <c r="C7" s="5" t="n">
        <v>7.606E-005</v>
      </c>
      <c r="D7" s="5" t="n">
        <v>7.606E-005</v>
      </c>
      <c r="E7" s="6"/>
      <c r="F7" s="6"/>
    </row>
    <row r="8" customFormat="false" ht="15" hidden="false" customHeight="false" outlineLevel="0" collapsed="false">
      <c r="A8" s="2"/>
      <c r="B8" s="2" t="s">
        <v>9</v>
      </c>
      <c r="C8" s="5" t="n">
        <v>8.606E-005</v>
      </c>
      <c r="D8" s="5" t="n">
        <v>7.704E-005</v>
      </c>
      <c r="E8" s="6" t="n">
        <f aca="false">AVERAGE(C8:D10)*10^6</f>
        <v>80.5816666666667</v>
      </c>
      <c r="F8" s="6" t="n">
        <f aca="false">STDEV(C8:D10)*10^6</f>
        <v>6.1921738240029</v>
      </c>
    </row>
    <row r="9" customFormat="false" ht="15" hidden="false" customHeight="false" outlineLevel="0" collapsed="false">
      <c r="A9" s="2"/>
      <c r="B9" s="2"/>
      <c r="C9" s="5" t="n">
        <v>8.767E-005</v>
      </c>
      <c r="D9" s="5" t="n">
        <v>7.349E-005</v>
      </c>
      <c r="E9" s="6"/>
      <c r="F9" s="6"/>
    </row>
    <row r="10" customFormat="false" ht="15" hidden="false" customHeight="false" outlineLevel="0" collapsed="false">
      <c r="A10" s="2"/>
      <c r="B10" s="2"/>
      <c r="C10" s="5" t="n">
        <v>8.445E-005</v>
      </c>
      <c r="D10" s="5" t="n">
        <v>7.478E-005</v>
      </c>
      <c r="E10" s="6"/>
      <c r="F10" s="6"/>
    </row>
    <row r="11" customFormat="false" ht="15" hidden="false" customHeight="false" outlineLevel="0" collapsed="false">
      <c r="A11" s="2"/>
      <c r="B11" s="2" t="s">
        <v>10</v>
      </c>
      <c r="C11" s="5" t="n">
        <v>8.096E-005</v>
      </c>
      <c r="D11" s="5" t="n">
        <v>8.012E-005</v>
      </c>
      <c r="E11" s="6" t="n">
        <f aca="false">AVERAGE(C11:D13)*10^6</f>
        <v>82.2666666666667</v>
      </c>
      <c r="F11" s="6" t="n">
        <f aca="false">STDEV(C11:D13)*10^6</f>
        <v>1.99305460704584</v>
      </c>
    </row>
    <row r="12" customFormat="false" ht="15" hidden="false" customHeight="false" outlineLevel="0" collapsed="false">
      <c r="A12" s="2"/>
      <c r="B12" s="2"/>
      <c r="C12" s="5" t="n">
        <v>8.46E-005</v>
      </c>
      <c r="D12" s="5" t="n">
        <v>8.348E-005</v>
      </c>
      <c r="E12" s="6"/>
      <c r="F12" s="6"/>
    </row>
    <row r="13" customFormat="false" ht="15" hidden="false" customHeight="false" outlineLevel="0" collapsed="false">
      <c r="A13" s="2"/>
      <c r="B13" s="2"/>
      <c r="C13" s="5" t="n">
        <v>8.404E-005</v>
      </c>
      <c r="D13" s="5" t="n">
        <v>8.04E-005</v>
      </c>
      <c r="E13" s="6"/>
      <c r="F13" s="6"/>
    </row>
    <row r="14" customFormat="false" ht="15" hidden="false" customHeight="false" outlineLevel="0" collapsed="false">
      <c r="A14" s="2" t="s">
        <v>11</v>
      </c>
      <c r="B14" s="2" t="s">
        <v>7</v>
      </c>
      <c r="C14" s="5" t="n">
        <v>9.647E-005</v>
      </c>
      <c r="D14" s="5" t="n">
        <v>9.514E-005</v>
      </c>
      <c r="E14" s="6" t="n">
        <f aca="false">AVERAGE(C14:D16)*10^6</f>
        <v>95.1933333333333</v>
      </c>
      <c r="F14" s="6" t="n">
        <f aca="false">STDEV(C14:D16)*10^6</f>
        <v>1.57287846531977</v>
      </c>
    </row>
    <row r="15" customFormat="false" ht="15" hidden="false" customHeight="false" outlineLevel="0" collapsed="false">
      <c r="A15" s="2"/>
      <c r="B15" s="2"/>
      <c r="C15" s="5" t="n">
        <v>9.347E-005</v>
      </c>
      <c r="D15" s="5" t="n">
        <v>9.681E-005</v>
      </c>
      <c r="E15" s="6"/>
      <c r="F15" s="6"/>
    </row>
    <row r="16" customFormat="false" ht="15" hidden="false" customHeight="false" outlineLevel="0" collapsed="false">
      <c r="A16" s="2"/>
      <c r="B16" s="2"/>
      <c r="C16" s="5" t="n">
        <v>9.313E-005</v>
      </c>
      <c r="D16" s="5" t="n">
        <v>9.614E-005</v>
      </c>
      <c r="E16" s="6"/>
      <c r="F16" s="6"/>
    </row>
    <row r="17" customFormat="false" ht="15" hidden="false" customHeight="false" outlineLevel="0" collapsed="false">
      <c r="A17" s="2"/>
      <c r="B17" s="2" t="s">
        <v>8</v>
      </c>
      <c r="C17" s="5" t="n">
        <v>9.9E-005</v>
      </c>
      <c r="D17" s="5" t="n">
        <v>8.769E-005</v>
      </c>
      <c r="E17" s="6" t="n">
        <f aca="false">AVERAGE(C17:D19)*10^6</f>
        <v>92.1016666666667</v>
      </c>
      <c r="F17" s="6" t="n">
        <f aca="false">STDEV(C17:D19)*10^6</f>
        <v>7.32781663708002</v>
      </c>
    </row>
    <row r="18" customFormat="false" ht="15" hidden="false" customHeight="false" outlineLevel="0" collapsed="false">
      <c r="A18" s="2"/>
      <c r="B18" s="2"/>
      <c r="C18" s="5" t="n">
        <v>9.276E-005</v>
      </c>
      <c r="D18" s="5" t="n">
        <v>9.198E-005</v>
      </c>
      <c r="E18" s="6"/>
      <c r="F18" s="6"/>
    </row>
    <row r="19" customFormat="false" ht="15" hidden="false" customHeight="false" outlineLevel="0" collapsed="false">
      <c r="A19" s="2"/>
      <c r="B19" s="2"/>
      <c r="C19" s="5" t="n">
        <v>8.068E-005</v>
      </c>
      <c r="D19" s="5" t="n">
        <v>0.0001005</v>
      </c>
      <c r="E19" s="6"/>
      <c r="F19" s="6"/>
    </row>
    <row r="20" customFormat="false" ht="15" hidden="false" customHeight="false" outlineLevel="0" collapsed="false">
      <c r="A20" s="2"/>
      <c r="B20" s="2" t="s">
        <v>9</v>
      </c>
      <c r="C20" s="5" t="n">
        <v>9.626E-005</v>
      </c>
      <c r="D20" s="5" t="n">
        <v>9.342E-005</v>
      </c>
      <c r="E20" s="6" t="n">
        <f aca="false">AVERAGE(C20:D22)*10^6</f>
        <v>94.1316666666667</v>
      </c>
      <c r="F20" s="6" t="n">
        <f aca="false">STDEV(C20:D22)*10^6</f>
        <v>4.0318949225726</v>
      </c>
    </row>
    <row r="21" customFormat="false" ht="15" hidden="false" customHeight="false" outlineLevel="0" collapsed="false">
      <c r="A21" s="2"/>
      <c r="B21" s="2"/>
      <c r="C21" s="5" t="n">
        <v>9.307E-005</v>
      </c>
      <c r="D21" s="5" t="n">
        <v>9.52E-005</v>
      </c>
      <c r="E21" s="6"/>
      <c r="F21" s="6"/>
    </row>
    <row r="22" customFormat="false" ht="15" hidden="false" customHeight="false" outlineLevel="0" collapsed="false">
      <c r="A22" s="2"/>
      <c r="B22" s="2"/>
      <c r="C22" s="5" t="n">
        <v>8.738E-005</v>
      </c>
      <c r="D22" s="5" t="n">
        <v>9.946E-005</v>
      </c>
      <c r="E22" s="6"/>
      <c r="F22" s="6"/>
    </row>
    <row r="23" customFormat="false" ht="15" hidden="false" customHeight="false" outlineLevel="0" collapsed="false">
      <c r="A23" s="2"/>
      <c r="B23" s="2" t="s">
        <v>10</v>
      </c>
      <c r="C23" s="5" t="n">
        <v>9.732E-005</v>
      </c>
      <c r="D23" s="5" t="n">
        <v>9.523E-005</v>
      </c>
      <c r="E23" s="6" t="n">
        <f aca="false">AVERAGE(C23:D25)*10^6</f>
        <v>95.1683333333333</v>
      </c>
      <c r="F23" s="6" t="n">
        <f aca="false">STDEV(C23:D25)*10^6</f>
        <v>1.40313102262998</v>
      </c>
    </row>
    <row r="24" customFormat="false" ht="15" hidden="false" customHeight="false" outlineLevel="0" collapsed="false">
      <c r="A24" s="2"/>
      <c r="B24" s="2"/>
      <c r="C24" s="5" t="n">
        <v>9.488E-005</v>
      </c>
      <c r="D24" s="5" t="n">
        <v>9.313E-005</v>
      </c>
      <c r="E24" s="6"/>
      <c r="F24" s="6"/>
    </row>
    <row r="25" customFormat="false" ht="15" hidden="false" customHeight="false" outlineLevel="0" collapsed="false">
      <c r="A25" s="2"/>
      <c r="B25" s="2"/>
      <c r="C25" s="5" t="n">
        <v>9.453E-005</v>
      </c>
      <c r="D25" s="5" t="n">
        <v>9.592E-005</v>
      </c>
      <c r="E25" s="6"/>
      <c r="F25" s="6"/>
    </row>
    <row r="26" customFormat="false" ht="15" hidden="false" customHeight="false" outlineLevel="0" collapsed="false">
      <c r="A26" s="2" t="s">
        <v>12</v>
      </c>
      <c r="B26" s="2" t="s">
        <v>7</v>
      </c>
      <c r="C26" s="5" t="n">
        <v>0.0001102</v>
      </c>
      <c r="D26" s="5" t="n">
        <v>0.0001084</v>
      </c>
      <c r="E26" s="6" t="n">
        <f aca="false">AVERAGE(C26:D28)*10^6</f>
        <v>109.25</v>
      </c>
      <c r="F26" s="6" t="n">
        <f aca="false">STDEV(C26:D28)*10^6</f>
        <v>1.99374020373769</v>
      </c>
    </row>
    <row r="27" customFormat="false" ht="15" hidden="false" customHeight="false" outlineLevel="0" collapsed="false">
      <c r="A27" s="2"/>
      <c r="B27" s="2"/>
      <c r="C27" s="5" t="n">
        <v>0.000112</v>
      </c>
      <c r="D27" s="5" t="n">
        <v>0.0001093</v>
      </c>
      <c r="E27" s="6"/>
      <c r="F27" s="6"/>
    </row>
    <row r="28" customFormat="false" ht="15" hidden="false" customHeight="false" outlineLevel="0" collapsed="false">
      <c r="A28" s="2"/>
      <c r="B28" s="2"/>
      <c r="C28" s="5" t="n">
        <v>0.000106</v>
      </c>
      <c r="D28" s="5" t="n">
        <v>0.0001096</v>
      </c>
      <c r="E28" s="6"/>
      <c r="F28" s="6"/>
    </row>
    <row r="29" customFormat="false" ht="15" hidden="false" customHeight="false" outlineLevel="0" collapsed="false">
      <c r="A29" s="2"/>
      <c r="B29" s="2" t="s">
        <v>8</v>
      </c>
      <c r="C29" s="5" t="n">
        <v>0.0001072</v>
      </c>
      <c r="D29" s="5" t="n">
        <v>9.89E-005</v>
      </c>
      <c r="E29" s="6" t="n">
        <f aca="false">AVERAGE(C29:D31)*10^6</f>
        <v>104.516666666667</v>
      </c>
      <c r="F29" s="6" t="n">
        <f aca="false">STDEV(C29:D31)*10^6</f>
        <v>3.21708978218928</v>
      </c>
    </row>
    <row r="30" customFormat="false" ht="15" hidden="false" customHeight="false" outlineLevel="0" collapsed="false">
      <c r="A30" s="2"/>
      <c r="B30" s="2"/>
      <c r="C30" s="5" t="n">
        <v>0.0001029</v>
      </c>
      <c r="D30" s="5" t="n">
        <v>0.0001072</v>
      </c>
      <c r="E30" s="6"/>
      <c r="F30" s="6"/>
    </row>
    <row r="31" customFormat="false" ht="15" hidden="false" customHeight="false" outlineLevel="0" collapsed="false">
      <c r="A31" s="2"/>
      <c r="B31" s="2"/>
      <c r="C31" s="5" t="n">
        <v>0.0001046</v>
      </c>
      <c r="D31" s="5" t="n">
        <v>0.0001063</v>
      </c>
      <c r="E31" s="6"/>
      <c r="F31" s="6"/>
    </row>
    <row r="32" customFormat="false" ht="15" hidden="false" customHeight="false" outlineLevel="0" collapsed="false">
      <c r="A32" s="2"/>
      <c r="B32" s="2" t="s">
        <v>9</v>
      </c>
      <c r="C32" s="5" t="n">
        <v>0.0001086</v>
      </c>
      <c r="D32" s="5" t="n">
        <v>0.0001064</v>
      </c>
      <c r="E32" s="6" t="n">
        <f aca="false">AVERAGE(C32:D34)*10^6</f>
        <v>106.666666666667</v>
      </c>
      <c r="F32" s="6" t="n">
        <f aca="false">STDEV(C32:D34)*10^6</f>
        <v>1.52665211055652</v>
      </c>
    </row>
    <row r="33" customFormat="false" ht="15" hidden="false" customHeight="false" outlineLevel="0" collapsed="false">
      <c r="A33" s="2"/>
      <c r="B33" s="2"/>
      <c r="C33" s="5" t="n">
        <v>0.0001084</v>
      </c>
      <c r="D33" s="5" t="n">
        <v>0.0001048</v>
      </c>
      <c r="E33" s="6"/>
      <c r="F33" s="6"/>
    </row>
    <row r="34" customFormat="false" ht="15" hidden="false" customHeight="false" outlineLevel="0" collapsed="false">
      <c r="A34" s="2"/>
      <c r="B34" s="2"/>
      <c r="C34" s="5" t="n">
        <v>0.0001056</v>
      </c>
      <c r="D34" s="5" t="n">
        <v>0.0001062</v>
      </c>
      <c r="E34" s="6"/>
      <c r="F34" s="6"/>
    </row>
    <row r="35" customFormat="false" ht="15" hidden="false" customHeight="false" outlineLevel="0" collapsed="false">
      <c r="A35" s="2"/>
      <c r="B35" s="2" t="s">
        <v>10</v>
      </c>
      <c r="C35" s="5" t="n">
        <v>0.0001</v>
      </c>
      <c r="D35" s="5" t="n">
        <v>0.0001149</v>
      </c>
      <c r="E35" s="6" t="n">
        <f aca="false">AVERAGE(C35:D37)*10^6</f>
        <v>107.383333333333</v>
      </c>
      <c r="F35" s="6" t="n">
        <f aca="false">STDEV(C35:D37)*10^6</f>
        <v>6.33195599058195</v>
      </c>
    </row>
    <row r="36" customFormat="false" ht="15" hidden="false" customHeight="false" outlineLevel="0" collapsed="false">
      <c r="A36" s="2"/>
      <c r="B36" s="2"/>
      <c r="C36" s="5" t="n">
        <v>0.0001042</v>
      </c>
      <c r="D36" s="5" t="n">
        <v>0.0001134</v>
      </c>
      <c r="E36" s="6"/>
      <c r="F36" s="6"/>
    </row>
    <row r="37" customFormat="false" ht="15" hidden="false" customHeight="false" outlineLevel="0" collapsed="false">
      <c r="A37" s="2"/>
      <c r="B37" s="2"/>
      <c r="C37" s="5" t="n">
        <v>0.0001015</v>
      </c>
      <c r="D37" s="5" t="n">
        <v>0.0001103</v>
      </c>
      <c r="E37" s="6"/>
      <c r="F37" s="6"/>
    </row>
  </sheetData>
  <mergeCells count="39">
    <mergeCell ref="A2:A13"/>
    <mergeCell ref="B2:B4"/>
    <mergeCell ref="E2:E4"/>
    <mergeCell ref="F2:F4"/>
    <mergeCell ref="B5:B7"/>
    <mergeCell ref="E5:E7"/>
    <mergeCell ref="F5:F7"/>
    <mergeCell ref="B8:B10"/>
    <mergeCell ref="E8:E10"/>
    <mergeCell ref="F8:F10"/>
    <mergeCell ref="B11:B13"/>
    <mergeCell ref="E11:E13"/>
    <mergeCell ref="F11:F13"/>
    <mergeCell ref="A14:A25"/>
    <mergeCell ref="B14:B16"/>
    <mergeCell ref="E14:E16"/>
    <mergeCell ref="F14:F16"/>
    <mergeCell ref="B17:B19"/>
    <mergeCell ref="E17:E19"/>
    <mergeCell ref="F17:F19"/>
    <mergeCell ref="B20:B22"/>
    <mergeCell ref="E20:E22"/>
    <mergeCell ref="F20:F22"/>
    <mergeCell ref="B23:B25"/>
    <mergeCell ref="E23:E25"/>
    <mergeCell ref="F23:F25"/>
    <mergeCell ref="A26:A37"/>
    <mergeCell ref="B26:B28"/>
    <mergeCell ref="E26:E28"/>
    <mergeCell ref="F26:F28"/>
    <mergeCell ref="B29:B31"/>
    <mergeCell ref="E29:E31"/>
    <mergeCell ref="F29:F31"/>
    <mergeCell ref="B32:B34"/>
    <mergeCell ref="E32:E34"/>
    <mergeCell ref="F32:F34"/>
    <mergeCell ref="B35:B37"/>
    <mergeCell ref="E35:E37"/>
    <mergeCell ref="F35:F3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2703</TotalTime>
  <Application>LibreOffice/24.8.2.1$MacOSX_X86_64 LibreOffice_project/0f794b6e29741098670a3b95d60478a65d05ef13</Application>
  <AppVersion>15.0000</AppVersion>
  <Company>苏州晶格电子有限公司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2014-08-20T02:38:27Z</dcterms:created>
  <dc:creator>苏州晶格</dc:creator>
  <dc:description/>
  <dc:language>ru-RU</dc:language>
  <cp:lastModifiedBy/>
  <cp:lastPrinted>2024-08-03T02:46:30Z</cp:lastPrinted>
  <dcterms:modified xsi:type="dcterms:W3CDTF">2026-09-10T10:43:12Z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</Properties>
</file>