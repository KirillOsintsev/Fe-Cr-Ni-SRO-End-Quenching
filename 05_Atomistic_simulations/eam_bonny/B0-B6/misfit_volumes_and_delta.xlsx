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tails" sheetId="1" state="visible" r:id="rId3"/>
    <sheet name="Summary_Del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<sst xmlns="http://schemas.openxmlformats.org/spreadsheetml/2006/main" count="31" uniqueCount="15">
  <si>
    <t xml:space="preserve">Potential Model</t>
  </si>
  <si>
    <t xml:space="preserve">Element</t>
  </si>
  <si>
    <t xml:space="preserve">Concentration (cn)</t>
  </si>
  <si>
    <t xml:space="preserve">Misfit Volume (slope)</t>
  </si>
  <si>
    <t xml:space="preserve">Intercept (V_avg)</t>
  </si>
  <si>
    <t xml:space="preserve">R-squared</t>
  </si>
  <si>
    <t xml:space="preserve">Vegard's Law</t>
  </si>
  <si>
    <t xml:space="preserve">Fe</t>
  </si>
  <si>
    <t xml:space="preserve">Ni</t>
  </si>
  <si>
    <t xml:space="preserve">Cr</t>
  </si>
  <si>
    <t xml:space="preserve">Bonny EAM</t>
  </si>
  <si>
    <t xml:space="preserve">PET-MAD</t>
  </si>
  <si>
    <t xml:space="preserve">Delta Parameter</t>
  </si>
  <si>
    <t xml:space="preserve">Burgers vector b</t>
  </si>
  <si>
    <t xml:space="preserve">a_lattice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</si>
</sst>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0.34</v>
      </c>
      <c r="D2" s="0" t="n">
        <v>0.294283</v>
      </c>
      <c r="E2" s="0" t="n">
        <v>11.7699</v>
      </c>
      <c r="F2" s="0" t="n">
        <v>1</v>
      </c>
    </row>
    <row r="3" customFormat="false" ht="15" hidden="false" customHeight="false" outlineLevel="0" collapsed="false">
      <c r="A3" s="0" t="s">
        <v>6</v>
      </c>
      <c r="B3" s="0" t="s">
        <v>8</v>
      </c>
      <c r="C3" s="0" t="n">
        <v>0.33</v>
      </c>
      <c r="D3" s="0" t="n">
        <v>-0.8308</v>
      </c>
      <c r="E3" s="0" t="n">
        <v>11.7699</v>
      </c>
      <c r="F3" s="0" t="n">
        <v>0.999982</v>
      </c>
    </row>
    <row r="4" customFormat="false" ht="15" hidden="false" customHeight="false" outlineLevel="0" collapsed="false">
      <c r="A4" s="0" t="s">
        <v>6</v>
      </c>
      <c r="B4" s="0" t="s">
        <v>9</v>
      </c>
      <c r="C4" s="0" t="n">
        <v>0.33</v>
      </c>
      <c r="D4" s="0" t="n">
        <v>0.50585</v>
      </c>
      <c r="E4" s="0" t="n">
        <v>11.7699</v>
      </c>
      <c r="F4" s="0" t="n">
        <v>0.997994</v>
      </c>
    </row>
    <row r="5" customFormat="false" ht="15" hidden="false" customHeight="false" outlineLevel="0" collapsed="false">
      <c r="A5" s="0" t="s">
        <v>10</v>
      </c>
      <c r="B5" s="0" t="s">
        <v>7</v>
      </c>
      <c r="C5" s="0" t="n">
        <v>0.34</v>
      </c>
      <c r="D5" s="0" t="n">
        <v>-0.320295</v>
      </c>
      <c r="E5" s="0" t="n">
        <v>10.912</v>
      </c>
      <c r="F5" s="0" t="n">
        <v>0.999082</v>
      </c>
    </row>
    <row r="6" customFormat="false" ht="15" hidden="false" customHeight="false" outlineLevel="0" collapsed="false">
      <c r="A6" s="0" t="s">
        <v>10</v>
      </c>
      <c r="B6" s="0" t="s">
        <v>8</v>
      </c>
      <c r="C6" s="0" t="n">
        <v>0.33</v>
      </c>
      <c r="D6" s="0" t="n">
        <v>-0.384265</v>
      </c>
      <c r="E6" s="0" t="n">
        <v>10.912</v>
      </c>
      <c r="F6" s="0" t="n">
        <v>0.999343</v>
      </c>
    </row>
    <row r="7" customFormat="false" ht="15" hidden="false" customHeight="false" outlineLevel="0" collapsed="false">
      <c r="A7" s="0" t="s">
        <v>10</v>
      </c>
      <c r="B7" s="0" t="s">
        <v>9</v>
      </c>
      <c r="C7" s="0" t="n">
        <v>0.33</v>
      </c>
      <c r="D7" s="0" t="n">
        <v>0.709412</v>
      </c>
      <c r="E7" s="0" t="n">
        <v>10.912</v>
      </c>
      <c r="F7" s="0" t="n">
        <v>0.999229</v>
      </c>
    </row>
    <row r="8" customFormat="false" ht="15" hidden="false" customHeight="false" outlineLevel="0" collapsed="false">
      <c r="A8" s="0" t="s">
        <v>11</v>
      </c>
      <c r="B8" s="0" t="s">
        <v>7</v>
      </c>
      <c r="C8" s="0" t="n">
        <v>0.34</v>
      </c>
      <c r="D8" s="0" t="n">
        <v>-0.618267</v>
      </c>
      <c r="E8" s="0" t="n">
        <v>10.4765</v>
      </c>
      <c r="F8" s="0" t="n">
        <v>0.999978</v>
      </c>
    </row>
    <row r="9" customFormat="false" ht="15" hidden="false" customHeight="false" outlineLevel="0" collapsed="false">
      <c r="A9" s="0" t="s">
        <v>11</v>
      </c>
      <c r="B9" s="0" t="s">
        <v>8</v>
      </c>
      <c r="C9" s="0" t="n">
        <v>0.33</v>
      </c>
      <c r="D9" s="0" t="n">
        <v>-0.205926</v>
      </c>
      <c r="E9" s="0" t="n">
        <v>10.4765</v>
      </c>
      <c r="F9" s="0" t="n">
        <v>0.997232</v>
      </c>
    </row>
    <row r="10" customFormat="false" ht="15" hidden="false" customHeight="false" outlineLevel="0" collapsed="false">
      <c r="A10" s="0" t="s">
        <v>11</v>
      </c>
      <c r="B10" s="0" t="s">
        <v>9</v>
      </c>
      <c r="C10" s="0" t="n">
        <v>0.33</v>
      </c>
      <c r="D10" s="0" t="n">
        <v>0.810897</v>
      </c>
      <c r="E10" s="0" t="n">
        <v>10.4765</v>
      </c>
      <c r="F10" s="0" t="n">
        <v>0.999751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6.64"/>
  </cols>
  <sheetData>
    <row r="1" customFormat="false" ht="15" hidden="false" customHeight="false" outlineLevel="0" collapsed="false">
      <c r="A1" s="1" t="s">
        <v>0</v>
      </c>
      <c r="B1" s="1" t="s">
        <v>12</v>
      </c>
      <c r="C1" s="1" t="s">
        <v>13</v>
      </c>
      <c r="D1" s="1" t="s">
        <v>14</v>
      </c>
    </row>
    <row r="2" customFormat="false" ht="15" hidden="false" customHeight="false" outlineLevel="0" collapsed="false">
      <c r="A2" s="0" t="s">
        <v>6</v>
      </c>
      <c r="B2" s="0" t="n">
        <v>0.016552</v>
      </c>
      <c r="C2" s="0" t="n">
        <v>2.5534</v>
      </c>
      <c r="D2" s="0" t="n">
        <v>3.611</v>
      </c>
      <c r="E2" s="0" t="n">
        <f aca="false">B2*100</f>
        <v>1.6552</v>
      </c>
    </row>
    <row r="3" customFormat="false" ht="15" hidden="false" customHeight="false" outlineLevel="0" collapsed="false">
      <c r="A3" s="0" t="s">
        <v>10</v>
      </c>
      <c r="B3" s="0" t="n">
        <v>0.015263</v>
      </c>
      <c r="C3" s="0" t="n">
        <v>2.4897</v>
      </c>
      <c r="D3" s="0" t="n">
        <v>3.521</v>
      </c>
      <c r="E3" s="0" t="n">
        <f aca="false">B3*100</f>
        <v>1.5263</v>
      </c>
    </row>
    <row r="4" customFormat="false" ht="15" hidden="false" customHeight="false" outlineLevel="0" collapsed="false">
      <c r="A4" s="0" t="s">
        <v>11</v>
      </c>
      <c r="B4" s="0" t="n">
        <v>0.019123</v>
      </c>
      <c r="C4" s="0" t="n">
        <v>2.4558</v>
      </c>
      <c r="D4" s="0" t="n">
        <v>3.473</v>
      </c>
      <c r="E4" s="0" t="n">
        <f aca="false">B4*100</f>
        <v>1.9123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2025-12-24T08:56:54Z</dcterms:created>
  <dc:creator>openpyxl</dc:creator>
  <dc:description/>
  <dc:language>ru-RU</dc:language>
  <cp:lastModifiedBy/>
  <dcterms:modified xsi:type="dcterms:W3CDTF">2025-12-25T09:24:47Z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